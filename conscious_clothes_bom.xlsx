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 Comparison" sheetId="2" state="visible" r:id="rId4"/>
    <sheet name="Supplier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<sst xmlns="http://schemas.openxmlformats.org/spreadsheetml/2006/main" count="192" uniqueCount="149">
  <si>
    <t xml:space="preserve">Category</t>
  </si>
  <si>
    <t xml:space="preserve">Component</t>
  </si>
  <si>
    <t xml:space="preserve">Part Number</t>
  </si>
  <si>
    <t xml:space="preserve">Qty</t>
  </si>
  <si>
    <t xml:space="preserve">Unit Price</t>
  </si>
  <si>
    <t xml:space="preserve">Extended</t>
  </si>
  <si>
    <t xml:space="preserve">Supplier</t>
  </si>
  <si>
    <t xml:space="preserve">Notes</t>
  </si>
  <si>
    <t xml:space="preserve">Processing</t>
  </si>
  <si>
    <t xml:space="preserve">STM32F405RGT6 MCU</t>
  </si>
  <si>
    <t xml:space="preserve">C15742</t>
  </si>
  <si>
    <t xml:space="preserve">LCSC</t>
  </si>
  <si>
    <t xml:space="preserve">Main processor - LCSC is most reliable for SMD</t>
  </si>
  <si>
    <t xml:space="preserve">nRF52832 BLE Module</t>
  </si>
  <si>
    <t xml:space="preserve">BM832</t>
  </si>
  <si>
    <t xml:space="preserve">Fanstel (1K qty)</t>
  </si>
  <si>
    <t xml:space="preserve">Bluetooth - FCC/CE certified</t>
  </si>
  <si>
    <t xml:space="preserve">W25Q128 16MB Flash</t>
  </si>
  <si>
    <t xml:space="preserve">C97521</t>
  </si>
  <si>
    <t xml:space="preserve">SPI Flash memory</t>
  </si>
  <si>
    <t xml:space="preserve">Support caps/resistors kit</t>
  </si>
  <si>
    <t xml:space="preserve">Kit</t>
  </si>
  <si>
    <t xml:space="preserve">Decoupling, pullups etc</t>
  </si>
  <si>
    <t xml:space="preserve">Power</t>
  </si>
  <si>
    <t xml:space="preserve">BQ24075 Charging IC</t>
  </si>
  <si>
    <t xml:space="preserve">C15464</t>
  </si>
  <si>
    <t xml:space="preserve">Solar/USB charging - best price</t>
  </si>
  <si>
    <t xml:space="preserve">TPS63020 Buck-Boost</t>
  </si>
  <si>
    <t xml:space="preserve">C134089</t>
  </si>
  <si>
    <t xml:space="preserve">Voltage regulation</t>
  </si>
  <si>
    <t xml:space="preserve">1000mAh 3.7V LiPo</t>
  </si>
  <si>
    <t xml:space="preserve">503450</t>
  </si>
  <si>
    <t xml:space="preserve">AliExpress (4-pack)</t>
  </si>
  <si>
    <t xml:space="preserve">Battery - get 4-pack for $18</t>
  </si>
  <si>
    <t xml:space="preserve">Power management passives</t>
  </si>
  <si>
    <t xml:space="preserve">Inductors, caps</t>
  </si>
  <si>
    <t xml:space="preserve">Sensors</t>
  </si>
  <si>
    <t xml:space="preserve">AD8232 ECG Module</t>
  </si>
  <si>
    <t xml:space="preserve">AD8232-Kit</t>
  </si>
  <si>
    <t xml:space="preserve">AliExpress</t>
  </si>
  <si>
    <t xml:space="preserve">ECG frontend with cables</t>
  </si>
  <si>
    <t xml:space="preserve">MAX30102 PPG Module #1</t>
  </si>
  <si>
    <t xml:space="preserve">MAX30102</t>
  </si>
  <si>
    <t xml:space="preserve">Heart rate/SpO2 - chest</t>
  </si>
  <si>
    <t xml:space="preserve">MAX30102 PPG Module #2</t>
  </si>
  <si>
    <t xml:space="preserve">Heart rate/SpO2 - wrist</t>
  </si>
  <si>
    <t xml:space="preserve">DS18B20 Temp Sensor</t>
  </si>
  <si>
    <t xml:space="preserve">DS18B20-5pk</t>
  </si>
  <si>
    <t xml:space="preserve">AliExpress (5-pack)</t>
  </si>
  <si>
    <t xml:space="preserve">5-pack for $7 - need 4</t>
  </si>
  <si>
    <t xml:space="preserve">MPU-9250 IMU Module</t>
  </si>
  <si>
    <t xml:space="preserve">GY-9250</t>
  </si>
  <si>
    <t xml:space="preserve">AliExpress/Amazon</t>
  </si>
  <si>
    <t xml:space="preserve">9-axis motion</t>
  </si>
  <si>
    <t xml:space="preserve">AD5933 Impedance Module</t>
  </si>
  <si>
    <t xml:space="preserve">AD5933</t>
  </si>
  <si>
    <t xml:space="preserve">eBay</t>
  </si>
  <si>
    <t xml:space="preserve">Body composition</t>
  </si>
  <si>
    <t xml:space="preserve">Solar</t>
  </si>
  <si>
    <t xml:space="preserve">Flexible Solar Panel 3V 50mA</t>
  </si>
  <si>
    <t xml:space="preserve">MP3-37 equiv</t>
  </si>
  <si>
    <t xml:space="preserve">AliExpress thin-film</t>
  </si>
  <si>
    <t xml:space="preserve">Patent spec: 20 panels</t>
  </si>
  <si>
    <t xml:space="preserve">Fabric</t>
  </si>
  <si>
    <t xml:space="preserve">Conductive Thread (stainless)</t>
  </si>
  <si>
    <t xml:space="preserve">ADA640</t>
  </si>
  <si>
    <t xml:space="preserve">Adafruit</t>
  </si>
  <si>
    <t xml:space="preserve">23m spools - need ~100m total</t>
  </si>
  <si>
    <t xml:space="preserve">Silver Conductive Fabric</t>
  </si>
  <si>
    <t xml:space="preserve">P130+B equiv</t>
  </si>
  <si>
    <t xml:space="preserve">AliExpress EMI fabric</t>
  </si>
  <si>
    <t xml:space="preserve">Electrodes 10x10cm pieces</t>
  </si>
  <si>
    <t xml:space="preserve">Athletic Fabric (poly/elastane)</t>
  </si>
  <si>
    <t xml:space="preserve">Fabric supplier</t>
  </si>
  <si>
    <t xml:space="preserve">1 yard, 73/27 blend</t>
  </si>
  <si>
    <t xml:space="preserve">Snap Connectors (conductive)</t>
  </si>
  <si>
    <t xml:space="preserve">Prym</t>
  </si>
  <si>
    <t xml:space="preserve">Amazon</t>
  </si>
  <si>
    <t xml:space="preserve">Metal snaps</t>
  </si>
  <si>
    <t xml:space="preserve">Waterproof Zipper</t>
  </si>
  <si>
    <t xml:space="preserve">YKK Aquaguard</t>
  </si>
  <si>
    <t xml:space="preserve">For electronics pocket</t>
  </si>
  <si>
    <t xml:space="preserve">Molex PicoBlade Connectors</t>
  </si>
  <si>
    <t xml:space="preserve">51021-0800</t>
  </si>
  <si>
    <t xml:space="preserve">Internal connections</t>
  </si>
  <si>
    <t xml:space="preserve">PCB</t>
  </si>
  <si>
    <t xml:space="preserve">Flexible PCB (4-layer)</t>
  </si>
  <si>
    <t xml:space="preserve">Custom</t>
  </si>
  <si>
    <t xml:space="preserve">JLCPCB/PCBWay</t>
  </si>
  <si>
    <t xml:space="preserve">Flex PCB prototype pricing</t>
  </si>
  <si>
    <t xml:space="preserve">Assembly consumables</t>
  </si>
  <si>
    <t xml:space="preserve">Misc</t>
  </si>
  <si>
    <t xml:space="preserve">Various</t>
  </si>
  <si>
    <t xml:space="preserve">Solder paste, flux, etc</t>
  </si>
  <si>
    <t xml:space="preserve">TOTAL:</t>
  </si>
  <si>
    <t xml:space="preserve">COST COMPARISON: Patent vs Reality</t>
  </si>
  <si>
    <t xml:space="preserve">Source</t>
  </si>
  <si>
    <t xml:space="preserve">Claimed Cost</t>
  </si>
  <si>
    <t xml:space="preserve">Patent Page 8</t>
  </si>
  <si>
    <t xml:space="preserve">$100</t>
  </si>
  <si>
    <t xml:space="preserve">Manufacturing scale (unrealistic)</t>
  </si>
  <si>
    <t xml:space="preserve">Appendix F First Est</t>
  </si>
  <si>
    <t xml:space="preserve">$250</t>
  </si>
  <si>
    <t xml:space="preserve">More realistic</t>
  </si>
  <si>
    <t xml:space="preserve">Appendix F Detailed</t>
  </si>
  <si>
    <t xml:space="preserve">$243</t>
  </si>
  <si>
    <t xml:space="preserve">Breakdown provided</t>
  </si>
  <si>
    <t xml:space="preserve">This BOM (Single Unit)</t>
  </si>
  <si>
    <t xml:space="preserve">AliExpress/LCSC pricing</t>
  </si>
  <si>
    <t xml:space="preserve">This BOM (10+ units)</t>
  </si>
  <si>
    <t xml:space="preserve">Est 15% volume discount</t>
  </si>
  <si>
    <t xml:space="preserve">This BOM (100+ units)</t>
  </si>
  <si>
    <t xml:space="preserve">Est 30% volume discount</t>
  </si>
  <si>
    <t xml:space="preserve">KEY FINDINGS:</t>
  </si>
  <si>
    <t xml:space="preserve">• Solar panels are the single largest cost (~$70 at cheapest)</t>
  </si>
  <si>
    <t xml:space="preserve">• LCSC offers best prices for ICs (50-80% cheaper than DigiKey)</t>
  </si>
  <si>
    <t xml:space="preserve">• AliExpress modules are reliable for prototypes, not medical grade</t>
  </si>
  <si>
    <t xml:space="preserve">• Piezo harvesters REMOVED per patent recommendation</t>
  </si>
  <si>
    <t xml:space="preserve">• AD8232 ECG modules are $3-5, not $20+ as patent claims</t>
  </si>
  <si>
    <t xml:space="preserve">• MAX30102 modules are &lt;$1 each on AliExpress</t>
  </si>
  <si>
    <t xml:space="preserve">• Battery pricing: $4-5 single, ~$4 each in 4-packs</t>
  </si>
  <si>
    <t xml:space="preserve">SUPPLIER RELIABILITY GUIDE</t>
  </si>
  <si>
    <t xml:space="preserve">Best For</t>
  </si>
  <si>
    <t xml:space="preserve">Shipping</t>
  </si>
  <si>
    <t xml:space="preserve">Reliability</t>
  </si>
  <si>
    <t xml:space="preserve">Min Order</t>
  </si>
  <si>
    <t xml:space="preserve">SMD ICs, passives</t>
  </si>
  <si>
    <t xml:space="preserve">3-7 days</t>
  </si>
  <si>
    <t xml:space="preserve">Excellent</t>
  </si>
  <si>
    <t xml:space="preserve">$1</t>
  </si>
  <si>
    <t xml:space="preserve">Modules, sensors</t>
  </si>
  <si>
    <t xml:space="preserve">2-4 weeks</t>
  </si>
  <si>
    <t xml:space="preserve">Good (check ratings)</t>
  </si>
  <si>
    <t xml:space="preserve">Fanstel</t>
  </si>
  <si>
    <t xml:space="preserve">BLE modules (certified)</t>
  </si>
  <si>
    <t xml:space="preserve">3-5 days</t>
  </si>
  <si>
    <t xml:space="preserve">10-pack</t>
  </si>
  <si>
    <t xml:space="preserve">Conductive materials</t>
  </si>
  <si>
    <t xml:space="preserve">2-5 days</t>
  </si>
  <si>
    <t xml:space="preserve">JLCPCB</t>
  </si>
  <si>
    <t xml:space="preserve">Flex PCB fab</t>
  </si>
  <si>
    <t xml:space="preserve">1-2 weeks</t>
  </si>
  <si>
    <t xml:space="preserve">5 pcs</t>
  </si>
  <si>
    <t xml:space="preserve">Quick-ship misc</t>
  </si>
  <si>
    <t xml:space="preserve">1-2 days</t>
  </si>
  <si>
    <t xml:space="preserve">Good</t>
  </si>
  <si>
    <t xml:space="preserve">Specialty modules</t>
  </si>
  <si>
    <t xml:space="preserve">Varies</t>
  </si>
  <si>
    <t xml:space="preserve">Check seller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</si>
</sst>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6" min="5" style="0" width="12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1</v>
      </c>
      <c r="E2" s="4" t="n">
        <v>2.92</v>
      </c>
      <c r="F2" s="5" t="n">
        <f aca="false">D2*E2</f>
        <v>2.92</v>
      </c>
      <c r="G2" s="2" t="s">
        <v>11</v>
      </c>
      <c r="H2" s="2" t="s">
        <v>12</v>
      </c>
    </row>
    <row r="3" customFormat="false" ht="15" hidden="false" customHeight="false" outlineLevel="0" collapsed="false">
      <c r="A3" s="2" t="s">
        <v>8</v>
      </c>
      <c r="B3" s="2" t="s">
        <v>13</v>
      </c>
      <c r="C3" s="2" t="s">
        <v>14</v>
      </c>
      <c r="D3" s="3" t="n">
        <v>1</v>
      </c>
      <c r="E3" s="4" t="n">
        <v>3.92</v>
      </c>
      <c r="F3" s="5" t="n">
        <f aca="false">D3*E3</f>
        <v>3.92</v>
      </c>
      <c r="G3" s="2" t="s">
        <v>15</v>
      </c>
      <c r="H3" s="2" t="s">
        <v>16</v>
      </c>
    </row>
    <row r="4" customFormat="false" ht="15" hidden="false" customHeight="false" outlineLevel="0" collapsed="false">
      <c r="A4" s="2" t="s">
        <v>8</v>
      </c>
      <c r="B4" s="2" t="s">
        <v>17</v>
      </c>
      <c r="C4" s="2" t="s">
        <v>18</v>
      </c>
      <c r="D4" s="3" t="n">
        <v>1</v>
      </c>
      <c r="E4" s="4" t="n">
        <v>1.35</v>
      </c>
      <c r="F4" s="5" t="n">
        <f aca="false">D4*E4</f>
        <v>1.35</v>
      </c>
      <c r="G4" s="2" t="s">
        <v>11</v>
      </c>
      <c r="H4" s="2" t="s">
        <v>19</v>
      </c>
    </row>
    <row r="5" customFormat="false" ht="15" hidden="false" customHeight="false" outlineLevel="0" collapsed="false">
      <c r="A5" s="2" t="s">
        <v>8</v>
      </c>
      <c r="B5" s="2" t="s">
        <v>20</v>
      </c>
      <c r="C5" s="2" t="s">
        <v>21</v>
      </c>
      <c r="D5" s="3" t="n">
        <v>1</v>
      </c>
      <c r="E5" s="4" t="n">
        <v>2.5</v>
      </c>
      <c r="F5" s="5" t="n">
        <f aca="false">D5*E5</f>
        <v>2.5</v>
      </c>
      <c r="G5" s="2" t="s">
        <v>11</v>
      </c>
      <c r="H5" s="2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3" t="n">
        <v>1</v>
      </c>
      <c r="E6" s="4" t="n">
        <v>0.66</v>
      </c>
      <c r="F6" s="5" t="n">
        <f aca="false">D6*E6</f>
        <v>0.66</v>
      </c>
      <c r="G6" s="2" t="s">
        <v>11</v>
      </c>
      <c r="H6" s="2" t="s">
        <v>26</v>
      </c>
    </row>
    <row r="7" customFormat="false" ht="15" hidden="false" customHeight="false" outlineLevel="0" collapsed="false">
      <c r="A7" s="2" t="s">
        <v>23</v>
      </c>
      <c r="B7" s="2" t="s">
        <v>27</v>
      </c>
      <c r="C7" s="2" t="s">
        <v>28</v>
      </c>
      <c r="D7" s="3" t="n">
        <v>1</v>
      </c>
      <c r="E7" s="4" t="n">
        <v>2.15</v>
      </c>
      <c r="F7" s="5" t="n">
        <f aca="false">D7*E7</f>
        <v>2.15</v>
      </c>
      <c r="G7" s="2" t="s">
        <v>11</v>
      </c>
      <c r="H7" s="2" t="s">
        <v>29</v>
      </c>
    </row>
    <row r="8" customFormat="false" ht="15" hidden="false" customHeight="false" outlineLevel="0" collapsed="false">
      <c r="A8" s="2" t="s">
        <v>23</v>
      </c>
      <c r="B8" s="2" t="s">
        <v>30</v>
      </c>
      <c r="C8" s="2" t="s">
        <v>31</v>
      </c>
      <c r="D8" s="3" t="n">
        <v>1</v>
      </c>
      <c r="E8" s="4" t="n">
        <v>4.5</v>
      </c>
      <c r="F8" s="5" t="n">
        <f aca="false">D8*E8</f>
        <v>4.5</v>
      </c>
      <c r="G8" s="2" t="s">
        <v>32</v>
      </c>
      <c r="H8" s="2" t="s">
        <v>33</v>
      </c>
    </row>
    <row r="9" customFormat="false" ht="15" hidden="false" customHeight="false" outlineLevel="0" collapsed="false">
      <c r="A9" s="2" t="s">
        <v>23</v>
      </c>
      <c r="B9" s="2" t="s">
        <v>34</v>
      </c>
      <c r="C9" s="2" t="s">
        <v>21</v>
      </c>
      <c r="D9" s="3" t="n">
        <v>1</v>
      </c>
      <c r="E9" s="4" t="n">
        <v>1.5</v>
      </c>
      <c r="F9" s="5" t="n">
        <f aca="false">D9*E9</f>
        <v>1.5</v>
      </c>
      <c r="G9" s="2" t="s">
        <v>11</v>
      </c>
      <c r="H9" s="2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3" t="n">
        <v>1</v>
      </c>
      <c r="E10" s="4" t="n">
        <v>3.65</v>
      </c>
      <c r="F10" s="5" t="n">
        <f aca="false">D10*E10</f>
        <v>3.65</v>
      </c>
      <c r="G10" s="2" t="s">
        <v>39</v>
      </c>
      <c r="H10" s="2" t="s">
        <v>40</v>
      </c>
    </row>
    <row r="11" customFormat="false" ht="15" hidden="false" customHeight="false" outlineLevel="0" collapsed="false">
      <c r="A11" s="2" t="s">
        <v>36</v>
      </c>
      <c r="B11" s="2" t="s">
        <v>41</v>
      </c>
      <c r="C11" s="2" t="s">
        <v>42</v>
      </c>
      <c r="D11" s="3" t="n">
        <v>1</v>
      </c>
      <c r="E11" s="4" t="n">
        <v>0.84</v>
      </c>
      <c r="F11" s="5" t="n">
        <f aca="false">D11*E11</f>
        <v>0.84</v>
      </c>
      <c r="G11" s="2" t="s">
        <v>39</v>
      </c>
      <c r="H11" s="2" t="s">
        <v>43</v>
      </c>
    </row>
    <row r="12" customFormat="false" ht="15" hidden="false" customHeight="false" outlineLevel="0" collapsed="false">
      <c r="A12" s="2" t="s">
        <v>36</v>
      </c>
      <c r="B12" s="2" t="s">
        <v>44</v>
      </c>
      <c r="C12" s="2" t="s">
        <v>42</v>
      </c>
      <c r="D12" s="3" t="n">
        <v>1</v>
      </c>
      <c r="E12" s="4" t="n">
        <v>0.84</v>
      </c>
      <c r="F12" s="5" t="n">
        <f aca="false">D12*E12</f>
        <v>0.84</v>
      </c>
      <c r="G12" s="2" t="s">
        <v>39</v>
      </c>
      <c r="H12" s="2" t="s">
        <v>45</v>
      </c>
    </row>
    <row r="13" customFormat="false" ht="15" hidden="false" customHeight="false" outlineLevel="0" collapsed="false">
      <c r="A13" s="2" t="s">
        <v>36</v>
      </c>
      <c r="B13" s="2" t="s">
        <v>46</v>
      </c>
      <c r="C13" s="2" t="s">
        <v>47</v>
      </c>
      <c r="D13" s="3" t="n">
        <v>4</v>
      </c>
      <c r="E13" s="4" t="n">
        <v>1.4</v>
      </c>
      <c r="F13" s="5" t="n">
        <f aca="false">D13*E13</f>
        <v>5.6</v>
      </c>
      <c r="G13" s="2" t="s">
        <v>48</v>
      </c>
      <c r="H13" s="2" t="s">
        <v>49</v>
      </c>
    </row>
    <row r="14" customFormat="false" ht="15" hidden="false" customHeight="false" outlineLevel="0" collapsed="false">
      <c r="A14" s="2" t="s">
        <v>36</v>
      </c>
      <c r="B14" s="2" t="s">
        <v>50</v>
      </c>
      <c r="C14" s="2" t="s">
        <v>51</v>
      </c>
      <c r="D14" s="3" t="n">
        <v>1</v>
      </c>
      <c r="E14" s="4" t="n">
        <v>6</v>
      </c>
      <c r="F14" s="5" t="n">
        <f aca="false">D14*E14</f>
        <v>6</v>
      </c>
      <c r="G14" s="2" t="s">
        <v>52</v>
      </c>
      <c r="H14" s="2" t="s">
        <v>53</v>
      </c>
    </row>
    <row r="15" customFormat="false" ht="15" hidden="false" customHeight="false" outlineLevel="0" collapsed="false">
      <c r="A15" s="2" t="s">
        <v>36</v>
      </c>
      <c r="B15" s="2" t="s">
        <v>54</v>
      </c>
      <c r="C15" s="2" t="s">
        <v>55</v>
      </c>
      <c r="D15" s="3" t="n">
        <v>1</v>
      </c>
      <c r="E15" s="4" t="n">
        <v>8</v>
      </c>
      <c r="F15" s="5" t="n">
        <f aca="false">D15*E15</f>
        <v>8</v>
      </c>
      <c r="G15" s="2" t="s">
        <v>56</v>
      </c>
      <c r="H15" s="2" t="s">
        <v>57</v>
      </c>
    </row>
    <row r="16" customFormat="false" ht="15" hidden="false" customHeight="false" outlineLevel="0" collapsed="false">
      <c r="A16" s="2" t="s">
        <v>58</v>
      </c>
      <c r="B16" s="2" t="s">
        <v>59</v>
      </c>
      <c r="C16" s="2" t="s">
        <v>60</v>
      </c>
      <c r="D16" s="3" t="n">
        <v>20</v>
      </c>
      <c r="E16" s="4" t="n">
        <v>3.5</v>
      </c>
      <c r="F16" s="5" t="n">
        <f aca="false">D16*E16</f>
        <v>70</v>
      </c>
      <c r="G16" s="2" t="s">
        <v>61</v>
      </c>
      <c r="H16" s="2" t="s">
        <v>62</v>
      </c>
    </row>
    <row r="17" customFormat="false" ht="15" hidden="false" customHeight="false" outlineLevel="0" collapsed="false">
      <c r="A17" s="2" t="s">
        <v>63</v>
      </c>
      <c r="B17" s="2" t="s">
        <v>64</v>
      </c>
      <c r="C17" s="2" t="s">
        <v>65</v>
      </c>
      <c r="D17" s="3" t="n">
        <v>4</v>
      </c>
      <c r="E17" s="4" t="n">
        <v>9.95</v>
      </c>
      <c r="F17" s="5" t="n">
        <f aca="false">D17*E17</f>
        <v>39.8</v>
      </c>
      <c r="G17" s="2" t="s">
        <v>66</v>
      </c>
      <c r="H17" s="2" t="s">
        <v>67</v>
      </c>
    </row>
    <row r="18" customFormat="false" ht="15" hidden="false" customHeight="false" outlineLevel="0" collapsed="false">
      <c r="A18" s="2" t="s">
        <v>63</v>
      </c>
      <c r="B18" s="2" t="s">
        <v>68</v>
      </c>
      <c r="C18" s="2" t="s">
        <v>69</v>
      </c>
      <c r="D18" s="3" t="n">
        <v>3</v>
      </c>
      <c r="E18" s="4" t="n">
        <v>8</v>
      </c>
      <c r="F18" s="5" t="n">
        <f aca="false">D18*E18</f>
        <v>24</v>
      </c>
      <c r="G18" s="2" t="s">
        <v>70</v>
      </c>
      <c r="H18" s="2" t="s">
        <v>71</v>
      </c>
    </row>
    <row r="19" customFormat="false" ht="15" hidden="false" customHeight="false" outlineLevel="0" collapsed="false">
      <c r="A19" s="2" t="s">
        <v>63</v>
      </c>
      <c r="B19" s="2" t="s">
        <v>72</v>
      </c>
      <c r="C19" s="2" t="s">
        <v>63</v>
      </c>
      <c r="D19" s="3" t="n">
        <v>1</v>
      </c>
      <c r="E19" s="4" t="n">
        <v>25</v>
      </c>
      <c r="F19" s="5" t="n">
        <f aca="false">D19*E19</f>
        <v>25</v>
      </c>
      <c r="G19" s="2" t="s">
        <v>73</v>
      </c>
      <c r="H19" s="2" t="s">
        <v>74</v>
      </c>
    </row>
    <row r="20" customFormat="false" ht="15" hidden="false" customHeight="false" outlineLevel="0" collapsed="false">
      <c r="A20" s="2" t="s">
        <v>63</v>
      </c>
      <c r="B20" s="2" t="s">
        <v>75</v>
      </c>
      <c r="C20" s="2" t="s">
        <v>76</v>
      </c>
      <c r="D20" s="3" t="n">
        <v>10</v>
      </c>
      <c r="E20" s="4" t="n">
        <v>0.5</v>
      </c>
      <c r="F20" s="5" t="n">
        <f aca="false">D20*E20</f>
        <v>5</v>
      </c>
      <c r="G20" s="2" t="s">
        <v>77</v>
      </c>
      <c r="H20" s="2" t="s">
        <v>78</v>
      </c>
    </row>
    <row r="21" customFormat="false" ht="15" hidden="false" customHeight="false" outlineLevel="0" collapsed="false">
      <c r="A21" s="2" t="s">
        <v>63</v>
      </c>
      <c r="B21" s="2" t="s">
        <v>79</v>
      </c>
      <c r="C21" s="2" t="s">
        <v>80</v>
      </c>
      <c r="D21" s="3" t="n">
        <v>1</v>
      </c>
      <c r="E21" s="4" t="n">
        <v>8</v>
      </c>
      <c r="F21" s="5" t="n">
        <f aca="false">D21*E21</f>
        <v>8</v>
      </c>
      <c r="G21" s="2" t="s">
        <v>77</v>
      </c>
      <c r="H21" s="2" t="s">
        <v>81</v>
      </c>
    </row>
    <row r="22" customFormat="false" ht="15" hidden="false" customHeight="false" outlineLevel="0" collapsed="false">
      <c r="A22" s="2" t="s">
        <v>63</v>
      </c>
      <c r="B22" s="2" t="s">
        <v>82</v>
      </c>
      <c r="C22" s="2" t="s">
        <v>83</v>
      </c>
      <c r="D22" s="3" t="n">
        <v>5</v>
      </c>
      <c r="E22" s="4" t="n">
        <v>0.4</v>
      </c>
      <c r="F22" s="5" t="n">
        <f aca="false">D22*E22</f>
        <v>2</v>
      </c>
      <c r="G22" s="2" t="s">
        <v>11</v>
      </c>
      <c r="H22" s="2" t="s">
        <v>84</v>
      </c>
    </row>
    <row r="23" customFormat="false" ht="15" hidden="false" customHeight="false" outlineLevel="0" collapsed="false">
      <c r="A23" s="2" t="s">
        <v>85</v>
      </c>
      <c r="B23" s="2" t="s">
        <v>86</v>
      </c>
      <c r="C23" s="2" t="s">
        <v>87</v>
      </c>
      <c r="D23" s="3" t="n">
        <v>1</v>
      </c>
      <c r="E23" s="4" t="n">
        <v>25</v>
      </c>
      <c r="F23" s="5" t="n">
        <f aca="false">D23*E23</f>
        <v>25</v>
      </c>
      <c r="G23" s="2" t="s">
        <v>88</v>
      </c>
      <c r="H23" s="2" t="s">
        <v>89</v>
      </c>
    </row>
    <row r="24" customFormat="false" ht="15" hidden="false" customHeight="false" outlineLevel="0" collapsed="false">
      <c r="A24" s="2" t="s">
        <v>85</v>
      </c>
      <c r="B24" s="2" t="s">
        <v>90</v>
      </c>
      <c r="C24" s="2" t="s">
        <v>91</v>
      </c>
      <c r="D24" s="3" t="n">
        <v>1</v>
      </c>
      <c r="E24" s="4" t="n">
        <v>10</v>
      </c>
      <c r="F24" s="5" t="n">
        <f aca="false">D24*E24</f>
        <v>10</v>
      </c>
      <c r="G24" s="2" t="s">
        <v>92</v>
      </c>
      <c r="H24" s="2" t="s">
        <v>93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E27" s="6" t="s">
        <v>94</v>
      </c>
      <c r="F27" s="7" t="n">
        <f aca="false">SUM(F2:F25)</f>
        <v>253.23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8" t="s">
        <v>95</v>
      </c>
    </row>
    <row r="3" customFormat="false" ht="15" hidden="false" customHeight="false" outlineLevel="0" collapsed="false">
      <c r="A3" s="9" t="s">
        <v>96</v>
      </c>
      <c r="B3" s="9" t="s">
        <v>97</v>
      </c>
      <c r="C3" s="9" t="s">
        <v>7</v>
      </c>
    </row>
    <row r="4" customFormat="false" ht="15" hidden="false" customHeight="false" outlineLevel="0" collapsed="false">
      <c r="A4" s="2" t="s">
        <v>98</v>
      </c>
      <c r="B4" s="5" t="s">
        <v>99</v>
      </c>
      <c r="C4" s="2" t="s">
        <v>100</v>
      </c>
    </row>
    <row r="5" customFormat="false" ht="15" hidden="false" customHeight="false" outlineLevel="0" collapsed="false">
      <c r="A5" s="2" t="s">
        <v>101</v>
      </c>
      <c r="B5" s="5" t="s">
        <v>102</v>
      </c>
      <c r="C5" s="2" t="s">
        <v>103</v>
      </c>
    </row>
    <row r="6" customFormat="false" ht="15" hidden="false" customHeight="false" outlineLevel="0" collapsed="false">
      <c r="A6" s="2" t="s">
        <v>104</v>
      </c>
      <c r="B6" s="5" t="s">
        <v>105</v>
      </c>
      <c r="C6" s="2" t="s">
        <v>106</v>
      </c>
    </row>
    <row r="7" customFormat="false" ht="15" hidden="false" customHeight="false" outlineLevel="0" collapsed="false">
      <c r="A7" s="2"/>
      <c r="B7" s="5"/>
      <c r="C7" s="2"/>
    </row>
    <row r="8" customFormat="false" ht="15" hidden="false" customHeight="false" outlineLevel="0" collapsed="false">
      <c r="A8" s="2" t="s">
        <v>107</v>
      </c>
      <c r="B8" s="5" t="n">
        <f aca="false">BOM!F27</f>
        <v>253.23</v>
      </c>
      <c r="C8" s="2" t="s">
        <v>108</v>
      </c>
    </row>
    <row r="9" customFormat="false" ht="15" hidden="false" customHeight="false" outlineLevel="0" collapsed="false">
      <c r="A9" s="2" t="s">
        <v>109</v>
      </c>
      <c r="B9" s="5" t="n">
        <f aca="false">BOM!F27*0.85</f>
        <v>215.2455</v>
      </c>
      <c r="C9" s="2" t="s">
        <v>110</v>
      </c>
    </row>
    <row r="10" customFormat="false" ht="15" hidden="false" customHeight="false" outlineLevel="0" collapsed="false">
      <c r="A10" s="2" t="s">
        <v>111</v>
      </c>
      <c r="B10" s="5" t="n">
        <f aca="false">BOM!F27*0.7</f>
        <v>177.261</v>
      </c>
      <c r="C10" s="2" t="s">
        <v>112</v>
      </c>
    </row>
    <row r="12" customFormat="false" ht="15" hidden="false" customHeight="false" outlineLevel="0" collapsed="false">
      <c r="A12" s="10" t="s">
        <v>113</v>
      </c>
    </row>
    <row r="13" customFormat="false" ht="15" hidden="false" customHeight="false" outlineLevel="0" collapsed="false">
      <c r="A13" s="0" t="s">
        <v>114</v>
      </c>
    </row>
    <row r="14" customFormat="false" ht="15" hidden="false" customHeight="false" outlineLevel="0" collapsed="false">
      <c r="A14" s="0" t="s">
        <v>115</v>
      </c>
    </row>
    <row r="15" customFormat="false" ht="15" hidden="false" customHeight="false" outlineLevel="0" collapsed="false">
      <c r="A15" s="0" t="s">
        <v>116</v>
      </c>
    </row>
    <row r="16" customFormat="false" ht="15" hidden="false" customHeight="false" outlineLevel="0" collapsed="false">
      <c r="A16" s="0" t="s">
        <v>117</v>
      </c>
    </row>
    <row r="17" customFormat="false" ht="15" hidden="false" customHeight="false" outlineLevel="0" collapsed="false">
      <c r="A17" s="0" t="s">
        <v>118</v>
      </c>
    </row>
    <row r="18" customFormat="false" ht="15" hidden="false" customHeight="false" outlineLevel="0" collapsed="false">
      <c r="A18" s="0" t="s">
        <v>119</v>
      </c>
    </row>
    <row r="19" customFormat="false" ht="15" hidden="false" customHeight="false" outlineLevel="0" collapsed="false">
      <c r="A19" s="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8" t="s">
        <v>121</v>
      </c>
    </row>
    <row r="3" customFormat="false" ht="15" hidden="false" customHeight="false" outlineLevel="0" collapsed="false">
      <c r="A3" s="9" t="s">
        <v>6</v>
      </c>
      <c r="B3" s="9" t="s">
        <v>122</v>
      </c>
      <c r="C3" s="9" t="s">
        <v>123</v>
      </c>
      <c r="D3" s="9" t="s">
        <v>124</v>
      </c>
      <c r="E3" s="9" t="s">
        <v>125</v>
      </c>
    </row>
    <row r="4" customFormat="false" ht="15" hidden="false" customHeight="false" outlineLevel="0" collapsed="false">
      <c r="A4" s="2" t="s">
        <v>11</v>
      </c>
      <c r="B4" s="2" t="s">
        <v>126</v>
      </c>
      <c r="C4" s="2" t="s">
        <v>127</v>
      </c>
      <c r="D4" s="2" t="s">
        <v>128</v>
      </c>
      <c r="E4" s="2" t="s">
        <v>129</v>
      </c>
    </row>
    <row r="5" customFormat="false" ht="15" hidden="false" customHeight="false" outlineLevel="0" collapsed="false">
      <c r="A5" s="2" t="s">
        <v>39</v>
      </c>
      <c r="B5" s="2" t="s">
        <v>130</v>
      </c>
      <c r="C5" s="2" t="s">
        <v>131</v>
      </c>
      <c r="D5" s="2" t="s">
        <v>132</v>
      </c>
      <c r="E5" s="2" t="s">
        <v>129</v>
      </c>
    </row>
    <row r="6" customFormat="false" ht="15" hidden="false" customHeight="false" outlineLevel="0" collapsed="false">
      <c r="A6" s="2" t="s">
        <v>133</v>
      </c>
      <c r="B6" s="2" t="s">
        <v>134</v>
      </c>
      <c r="C6" s="2" t="s">
        <v>135</v>
      </c>
      <c r="D6" s="2" t="s">
        <v>128</v>
      </c>
      <c r="E6" s="2" t="s">
        <v>136</v>
      </c>
    </row>
    <row r="7" customFormat="false" ht="15" hidden="false" customHeight="false" outlineLevel="0" collapsed="false">
      <c r="A7" s="2" t="s">
        <v>66</v>
      </c>
      <c r="B7" s="2" t="s">
        <v>137</v>
      </c>
      <c r="C7" s="2" t="s">
        <v>138</v>
      </c>
      <c r="D7" s="2" t="s">
        <v>128</v>
      </c>
      <c r="E7" s="2" t="s">
        <v>129</v>
      </c>
    </row>
    <row r="8" customFormat="false" ht="15" hidden="false" customHeight="false" outlineLevel="0" collapsed="false">
      <c r="A8" s="2" t="s">
        <v>139</v>
      </c>
      <c r="B8" s="2" t="s">
        <v>140</v>
      </c>
      <c r="C8" s="2" t="s">
        <v>141</v>
      </c>
      <c r="D8" s="2" t="s">
        <v>128</v>
      </c>
      <c r="E8" s="2" t="s">
        <v>142</v>
      </c>
    </row>
    <row r="9" customFormat="false" ht="15" hidden="false" customHeight="false" outlineLevel="0" collapsed="false">
      <c r="A9" s="2" t="s">
        <v>77</v>
      </c>
      <c r="B9" s="2" t="s">
        <v>143</v>
      </c>
      <c r="C9" s="2" t="s">
        <v>144</v>
      </c>
      <c r="D9" s="2" t="s">
        <v>145</v>
      </c>
      <c r="E9" s="2" t="s">
        <v>129</v>
      </c>
    </row>
    <row r="10" customFormat="false" ht="15" hidden="false" customHeight="false" outlineLevel="0" collapsed="false">
      <c r="A10" s="2" t="s">
        <v>56</v>
      </c>
      <c r="B10" s="2" t="s">
        <v>146</v>
      </c>
      <c r="C10" s="2" t="s">
        <v>147</v>
      </c>
      <c r="D10" s="2" t="s">
        <v>148</v>
      </c>
      <c r="E10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2025-12-01T22:07:47Z</dcterms:created>
  <dc:creator>openpyxl</dc:creator>
  <dc:description/>
  <dc:language>en-US</dc:language>
  <cp:lastModifiedBy/>
  <dcterms:modified xsi:type="dcterms:W3CDTF">2025-12-01T22:07:47Z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